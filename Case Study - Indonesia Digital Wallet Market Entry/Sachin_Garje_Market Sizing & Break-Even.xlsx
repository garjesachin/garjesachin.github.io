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achin Garje\Downloads\Ken Research\Case Study\"/>
    </mc:Choice>
  </mc:AlternateContent>
  <xr:revisionPtr revIDLastSave="0" documentId="13_ncr:1_{181AF73A-B8B2-43C5-A408-86E6F05892A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ottom-Up Model" sheetId="2" r:id="rId1"/>
    <sheet name="ARPU Calculation" sheetId="5" r:id="rId2"/>
    <sheet name="Break-Even Calculation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6" l="1"/>
  <c r="C20" i="6"/>
  <c r="C23" i="6"/>
  <c r="C25" i="6" s="1"/>
  <c r="D41" i="2"/>
  <c r="C41" i="2"/>
  <c r="D40" i="2"/>
  <c r="C40" i="2"/>
  <c r="D39" i="2"/>
  <c r="C39" i="2"/>
  <c r="C23" i="5"/>
  <c r="C16" i="5"/>
  <c r="C18" i="5" s="1"/>
  <c r="D9" i="2"/>
  <c r="D14" i="2" s="1"/>
  <c r="D16" i="2" s="1"/>
  <c r="D25" i="2" s="1"/>
  <c r="D35" i="2" s="1"/>
  <c r="C9" i="2"/>
  <c r="C14" i="2" s="1"/>
  <c r="C16" i="2" s="1"/>
  <c r="C25" i="2" s="1"/>
  <c r="C35" i="2" s="1"/>
  <c r="C28" i="5" l="1"/>
  <c r="C45" i="2"/>
  <c r="D45" i="2"/>
  <c r="C23" i="2"/>
  <c r="C33" i="2" s="1"/>
  <c r="C43" i="2" s="1"/>
  <c r="C24" i="2"/>
  <c r="C34" i="2" s="1"/>
  <c r="C44" i="2" s="1"/>
  <c r="D23" i="2"/>
  <c r="D33" i="2" s="1"/>
  <c r="D43" i="2" s="1"/>
  <c r="D24" i="2"/>
  <c r="D34" i="2" s="1"/>
  <c r="D44" i="2" s="1"/>
  <c r="D48" i="2" l="1"/>
  <c r="C48" i="2"/>
  <c r="E48" i="2" l="1"/>
  <c r="C49" i="2" s="1"/>
  <c r="D52" i="2" l="1"/>
  <c r="D51" i="2"/>
  <c r="C52" i="2"/>
  <c r="C51" i="2"/>
  <c r="D53" i="2"/>
  <c r="C53" i="2"/>
  <c r="D49" i="2"/>
</calcChain>
</file>

<file path=xl/sharedStrings.xml><?xml version="1.0" encoding="utf-8"?>
<sst xmlns="http://schemas.openxmlformats.org/spreadsheetml/2006/main" count="107" uniqueCount="68">
  <si>
    <t>Urban</t>
  </si>
  <si>
    <t>Rural</t>
  </si>
  <si>
    <t>BPS Indonesia Population</t>
  </si>
  <si>
    <t>BPS Indonesia Urban Population</t>
  </si>
  <si>
    <t>Source:</t>
  </si>
  <si>
    <t>POPULATION</t>
  </si>
  <si>
    <t>Indonesia Population</t>
  </si>
  <si>
    <t>SMARTPHONE &amp; INTERNET PENETRATION</t>
  </si>
  <si>
    <t>Smartphone Penetration</t>
  </si>
  <si>
    <t>BPS Indonesia Smartphone Penetration 2024</t>
  </si>
  <si>
    <t>APJII Survey 2025</t>
  </si>
  <si>
    <t>Total</t>
  </si>
  <si>
    <t>Urban/Rural Total</t>
  </si>
  <si>
    <t>Internet Penetration</t>
  </si>
  <si>
    <t>INCOME DISTRIBUTION</t>
  </si>
  <si>
    <t>BPS Statistical Yearbook 2025</t>
  </si>
  <si>
    <t>MOBILE WALLET ADOPTION RATES</t>
  </si>
  <si>
    <t>Low-Income</t>
  </si>
  <si>
    <t>Middle-Income</t>
  </si>
  <si>
    <t>High-Income</t>
  </si>
  <si>
    <t>ANNUAL REVENUE PER USER (ARPU) per month (in USD)</t>
  </si>
  <si>
    <t>Year 2025</t>
  </si>
  <si>
    <t>Total Addressable Market (TAM)</t>
  </si>
  <si>
    <t>Blue Text</t>
  </si>
  <si>
    <t>Black Text</t>
  </si>
  <si>
    <t>Yellow color coded</t>
  </si>
  <si>
    <t>= Assumptions</t>
  </si>
  <si>
    <t>GoPay Regional Adoption Rates</t>
  </si>
  <si>
    <t>= Fixed Data Inputs</t>
  </si>
  <si>
    <t>= Formulas/Calculation</t>
  </si>
  <si>
    <t>ANNUAL REVENUE PER USER (ARPU)</t>
  </si>
  <si>
    <t>Indonesians spend an average of US$35 (approximately 543,250 IDR) on e-commerce purchases each month.</t>
  </si>
  <si>
    <t>Source:  Indonesia E-Commerce Trends, 2024, Jakpat</t>
  </si>
  <si>
    <t>And, Digital wallets comprise 35% share by volume of the primary payment methods for e-commerce in Indonesia.</t>
  </si>
  <si>
    <t>PCMI</t>
  </si>
  <si>
    <t>Wallet GTV for E-commerce</t>
  </si>
  <si>
    <t>Digital Wallet Share</t>
  </si>
  <si>
    <t>Avg Take rate</t>
  </si>
  <si>
    <t>(the actual % of the transaction wallet provider keeps)</t>
  </si>
  <si>
    <t>(GTV - Gross Transaction Value)</t>
  </si>
  <si>
    <t>Indonesian users frequently use QRIS for small-ticket, daily, non-e-commerce transactions (foods, transport, bills).</t>
  </si>
  <si>
    <t>Avg Non E-commerce spend/month</t>
  </si>
  <si>
    <t>Avg E-commerce spend/month</t>
  </si>
  <si>
    <t>Merchant Discount Rate</t>
  </si>
  <si>
    <t>(Standard Bank Indonesia rate for regular merchants via QRIS)</t>
  </si>
  <si>
    <t>Wallet Revenue (2)</t>
  </si>
  <si>
    <t>Wallet Revenue (1)</t>
  </si>
  <si>
    <t>Wallet Revenue (3)</t>
  </si>
  <si>
    <t>Total Monthly ARPU</t>
  </si>
  <si>
    <t>Other Value added services, like revenue from lending/credit commissions, BNPL etc.</t>
  </si>
  <si>
    <t>ARPU Assumptions</t>
  </si>
  <si>
    <t>- Urban high/mid users are more likely to use BNPL features, hence ARPU is high as VAS service provide better margins for wallet providers.</t>
  </si>
  <si>
    <t>Break-Even Calculation</t>
  </si>
  <si>
    <t>On average, the cost to develop a digital wallet app can range from $60,000 to $250,000 or more.</t>
  </si>
  <si>
    <t>Digital wallet app development</t>
  </si>
  <si>
    <t>Fixed Costs</t>
  </si>
  <si>
    <t>IDR</t>
  </si>
  <si>
    <t>USD</t>
  </si>
  <si>
    <t>Break-Even Transactions (per month)</t>
  </si>
  <si>
    <t>Avg Transaction Value (per month)</t>
  </si>
  <si>
    <t>34% of users made QRIS transactions two to three times a week, with the majority of transactions involving 100,000 rupiah or less.</t>
  </si>
  <si>
    <t>Indonesia's digital payments market</t>
  </si>
  <si>
    <t>Variable Costs (per txn)</t>
  </si>
  <si>
    <t>Merchant Discount Rate (MDR)</t>
  </si>
  <si>
    <t>Revenue Split</t>
  </si>
  <si>
    <t>~ 5 Million</t>
  </si>
  <si>
    <t>`- Issuing wallet (50%)</t>
  </si>
  <si>
    <t>`- Other admin fees (50%)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</si>
</sst>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,,&quot;M&quot;"/>
    <numFmt numFmtId="165" formatCode="[$$-409]#,##0.0"/>
    <numFmt numFmtId="166" formatCode="[$$-409]#,##0.00,,&quot;M&quot;"/>
    <numFmt numFmtId="167" formatCode="#,##0.0,,&quot;M&quot;"/>
    <numFmt numFmtId="168" formatCode="[$$-409]#,##0.00"/>
    <numFmt numFmtId="169" formatCode="0.0%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u/>
      <sz val="9"/>
      <color theme="1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u/>
      <sz val="8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8B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0" fillId="0" borderId="0" applyFont="0" applyFill="0" applyBorder="0" applyAlignment="0" applyProtection="0"/>
  </cellStyleXfs>
  <cellXfs count="45">
    <xf numFmtId="0" fontId="0" fillId="0" borderId="0" xfId="0"/>
    <xf numFmtId="9" fontId="0" fillId="0" borderId="0" xfId="0" applyNumberFormat="1"/>
    <xf numFmtId="164" fontId="0" fillId="0" borderId="0" xfId="0" applyNumberFormat="1"/>
    <xf numFmtId="0" fontId="3" fillId="0" borderId="0" xfId="0" applyFont="1"/>
    <xf numFmtId="0" fontId="4" fillId="0" borderId="0" xfId="1" applyFont="1"/>
    <xf numFmtId="165" fontId="0" fillId="0" borderId="0" xfId="0" applyNumberFormat="1"/>
    <xf numFmtId="166" fontId="0" fillId="0" borderId="0" xfId="0" applyNumberFormat="1"/>
    <xf numFmtId="0" fontId="7" fillId="0" borderId="1" xfId="0" applyFont="1" applyBorder="1" applyAlignment="1">
      <alignment horizontal="left"/>
    </xf>
    <xf numFmtId="0" fontId="0" fillId="0" borderId="1" xfId="0" applyBorder="1"/>
    <xf numFmtId="9" fontId="0" fillId="0" borderId="1" xfId="0" applyNumberFormat="1" applyBorder="1"/>
    <xf numFmtId="164" fontId="0" fillId="0" borderId="1" xfId="0" applyNumberFormat="1" applyBorder="1"/>
    <xf numFmtId="164" fontId="5" fillId="0" borderId="1" xfId="0" applyNumberFormat="1" applyFont="1" applyBorder="1"/>
    <xf numFmtId="9" fontId="6" fillId="2" borderId="1" xfId="0" applyNumberFormat="1" applyFont="1" applyFill="1" applyBorder="1"/>
    <xf numFmtId="165" fontId="6" fillId="2" borderId="1" xfId="0" applyNumberFormat="1" applyFont="1" applyFill="1" applyBorder="1"/>
    <xf numFmtId="166" fontId="5" fillId="0" borderId="1" xfId="0" applyNumberFormat="1" applyFont="1" applyBorder="1"/>
    <xf numFmtId="0" fontId="0" fillId="0" borderId="0" xfId="0" quotePrefix="1"/>
    <xf numFmtId="0" fontId="7" fillId="0" borderId="1" xfId="0" applyFont="1" applyBorder="1" applyAlignment="1">
      <alignment horizontal="right"/>
    </xf>
    <xf numFmtId="167" fontId="0" fillId="0" borderId="1" xfId="0" applyNumberFormat="1" applyBorder="1"/>
    <xf numFmtId="167" fontId="5" fillId="0" borderId="1" xfId="0" applyNumberFormat="1" applyFont="1" applyBorder="1"/>
    <xf numFmtId="169" fontId="6" fillId="2" borderId="1" xfId="0" applyNumberFormat="1" applyFont="1" applyFill="1" applyBorder="1"/>
    <xf numFmtId="165" fontId="0" fillId="0" borderId="1" xfId="0" applyNumberFormat="1" applyBorder="1"/>
    <xf numFmtId="168" fontId="5" fillId="0" borderId="1" xfId="0" applyNumberFormat="1" applyFont="1" applyBorder="1"/>
    <xf numFmtId="169" fontId="0" fillId="0" borderId="1" xfId="0" applyNumberFormat="1" applyBorder="1"/>
    <xf numFmtId="168" fontId="6" fillId="2" borderId="1" xfId="0" applyNumberFormat="1" applyFont="1" applyFill="1" applyBorder="1"/>
    <xf numFmtId="0" fontId="1" fillId="0" borderId="1" xfId="0" applyFont="1" applyBorder="1"/>
    <xf numFmtId="168" fontId="1" fillId="0" borderId="1" xfId="0" applyNumberFormat="1" applyFont="1" applyBorder="1"/>
    <xf numFmtId="0" fontId="12" fillId="0" borderId="0" xfId="1" applyFont="1"/>
    <xf numFmtId="0" fontId="11" fillId="0" borderId="0" xfId="0" applyFont="1" applyAlignment="1">
      <alignment horizontal="right"/>
    </xf>
    <xf numFmtId="0" fontId="1" fillId="0" borderId="0" xfId="0" applyFont="1"/>
    <xf numFmtId="164" fontId="6" fillId="2" borderId="1" xfId="0" applyNumberFormat="1" applyFont="1" applyFill="1" applyBorder="1"/>
    <xf numFmtId="3" fontId="6" fillId="2" borderId="1" xfId="0" applyNumberFormat="1" applyFont="1" applyFill="1" applyBorder="1"/>
    <xf numFmtId="10" fontId="0" fillId="0" borderId="1" xfId="0" applyNumberFormat="1" applyBorder="1"/>
    <xf numFmtId="0" fontId="5" fillId="0" borderId="1" xfId="0" applyFont="1" applyBorder="1"/>
    <xf numFmtId="3" fontId="5" fillId="0" borderId="1" xfId="0" applyNumberFormat="1" applyFont="1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left" indent="2"/>
    </xf>
    <xf numFmtId="9" fontId="0" fillId="0" borderId="0" xfId="2" applyFont="1"/>
    <xf numFmtId="10" fontId="6" fillId="2" borderId="1" xfId="0" applyNumberFormat="1" applyFont="1" applyFill="1" applyBorder="1"/>
    <xf numFmtId="0" fontId="8" fillId="3" borderId="1" xfId="0" applyFont="1" applyFill="1" applyBorder="1" applyAlignment="1">
      <alignment horizontal="left"/>
    </xf>
    <xf numFmtId="0" fontId="8" fillId="3" borderId="2" xfId="0" applyFont="1" applyFill="1" applyBorder="1" applyAlignment="1">
      <alignment horizontal="left"/>
    </xf>
    <xf numFmtId="0" fontId="8" fillId="3" borderId="0" xfId="0" applyFont="1" applyFill="1" applyAlignment="1">
      <alignment horizontal="left"/>
    </xf>
    <xf numFmtId="9" fontId="9" fillId="0" borderId="0" xfId="0" applyNumberFormat="1" applyFont="1"/>
    <xf numFmtId="168" fontId="0" fillId="0" borderId="0" xfId="0" applyNumberFormat="1"/>
    <xf numFmtId="166" fontId="3" fillId="0" borderId="0" xfId="0" applyNumberFormat="1" applyFont="1" applyAlignment="1">
      <alignment wrapText="1"/>
    </xf>
    <xf numFmtId="10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ps.go.id/en/statistics-table/2/Mzk1IzI=/percentage-of-population-owns-cellular-mobile-phone-by-province-and-urban-rural-classification.html" TargetMode="External"/><Relationship Id="rId2" Type="http://schemas.openxmlformats.org/officeDocument/2006/relationships/hyperlink" Target="https://www.bps.go.id/en/statistics-table/1/MTI3NiMx/percentage-of-population-in-urban-area-results-of-population-projection-by-province--2015---2035.html" TargetMode="External"/><Relationship Id="rId1" Type="http://schemas.openxmlformats.org/officeDocument/2006/relationships/hyperlink" Target="https://www.bps.go.id/en/statistics-table/3/WVc0MGEyMXBkVFUxY25KeE9HdDZkbTQzWkVkb1p6MDkjMyMwMDAw/population-by-age-groups-and-sex--thousand-.html?year=2025" TargetMode="External"/><Relationship Id="rId6" Type="http://schemas.openxmlformats.org/officeDocument/2006/relationships/hyperlink" Target="https://coinlaw.io/gopay-statistics/" TargetMode="External"/><Relationship Id="rId5" Type="http://schemas.openxmlformats.org/officeDocument/2006/relationships/hyperlink" Target="https://web-api.bps.go.id/download.php?f=ia8hLHdXMa5wKMZ8E7W60XZMNTAxcnFjZkdoaXNWQVBQajM3TDFUaWpOeU1RclZCZGZmK3BxTVRMa0VEcjFudEhtenJ0WkU2dVcxRTh3ZWhWY05xUjFZajhXODNoRXJuQ2NBSThaNnIxaWZqOGNqT2MvRWp5NExNUnN6blpOYUd2YkRSNFF0M20ycjVvR3cwTWplY29lVkRrcnYwUURSNkcwWUw3c2ZDSnk0VXVSbU9QRGMyZHQ4SFpRRk1yd01tM1NSNXpMcTMzOUhnK1JaMUR3dWk4N2dVeHU5Q2RiL2xMUllVSWt2azlrbnZRZVJuK21qTlUzQUh3dURwTW5OK21oV3Rpa0ZnTDg0THRnU1I=&amp;_gl=1*54wo7i*_ga*MTk5NzQwNjU5Ny4xNzc2ODc0NDQx*_ga_XXTTVXWHDB*czE3NzY5MjIyOTIkbzMkZzEkdDE3NzY5MjQ2OTIkajI5JGwwJGgw" TargetMode="External"/><Relationship Id="rId4" Type="http://schemas.openxmlformats.org/officeDocument/2006/relationships/hyperlink" Target="https://survei.apjii.or.id/survei/group/1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aymentscmi.com/insights/indonesia-ecommerce-market-data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knowledge.antom.com/unlocking-opportunities-in-indonesia-southeast-asias-largest-digital-payments-market" TargetMode="External"/><Relationship Id="rId1" Type="http://schemas.openxmlformats.org/officeDocument/2006/relationships/hyperlink" Target="https://www.zymr.com/blog/digital-wallet-app-develop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055F3-25BE-46AF-9E19-CF390E5C0229}">
  <dimension ref="B2:H53"/>
  <sheetViews>
    <sheetView showGridLines="0" tabSelected="1" workbookViewId="0">
      <pane xSplit="1" ySplit="6" topLeftCell="B7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4.5" x14ac:dyDescent="0.35"/>
  <cols>
    <col min="1" max="1" width="1.81640625" customWidth="1"/>
    <col min="2" max="2" width="21.6328125" customWidth="1"/>
    <col min="3" max="5" width="15.6328125" customWidth="1"/>
    <col min="6" max="6" width="1.90625" customWidth="1"/>
    <col min="7" max="7" width="6.36328125" customWidth="1"/>
    <col min="8" max="8" width="70.90625" customWidth="1"/>
    <col min="9" max="10" width="11.81640625" bestFit="1" customWidth="1"/>
  </cols>
  <sheetData>
    <row r="2" spans="2:8" x14ac:dyDescent="0.35">
      <c r="B2" s="9" t="s">
        <v>24</v>
      </c>
      <c r="C2" s="15" t="s">
        <v>28</v>
      </c>
    </row>
    <row r="3" spans="2:8" x14ac:dyDescent="0.35">
      <c r="B3" s="11" t="s">
        <v>23</v>
      </c>
      <c r="C3" s="15" t="s">
        <v>29</v>
      </c>
    </row>
    <row r="4" spans="2:8" x14ac:dyDescent="0.35">
      <c r="B4" s="12" t="s">
        <v>25</v>
      </c>
      <c r="C4" s="15" t="s">
        <v>26</v>
      </c>
    </row>
    <row r="6" spans="2:8" ht="15.5" x14ac:dyDescent="0.35">
      <c r="B6" s="7" t="s">
        <v>21</v>
      </c>
      <c r="C6" s="16" t="s">
        <v>0</v>
      </c>
      <c r="D6" s="16" t="s">
        <v>1</v>
      </c>
      <c r="E6" s="16" t="s">
        <v>11</v>
      </c>
    </row>
    <row r="7" spans="2:8" x14ac:dyDescent="0.35">
      <c r="B7" s="38" t="s">
        <v>5</v>
      </c>
      <c r="C7" s="38"/>
      <c r="D7" s="38"/>
      <c r="E7" s="38"/>
    </row>
    <row r="8" spans="2:8" x14ac:dyDescent="0.35">
      <c r="B8" s="8" t="s">
        <v>6</v>
      </c>
      <c r="C8" s="9">
        <v>0.6</v>
      </c>
      <c r="D8" s="9">
        <v>0.4</v>
      </c>
      <c r="E8" s="17">
        <v>284438800</v>
      </c>
      <c r="G8" s="3" t="s">
        <v>4</v>
      </c>
      <c r="H8" s="4" t="s">
        <v>2</v>
      </c>
    </row>
    <row r="9" spans="2:8" x14ac:dyDescent="0.35">
      <c r="B9" s="8" t="s">
        <v>12</v>
      </c>
      <c r="C9" s="18">
        <f>C8*$E$8</f>
        <v>170663280</v>
      </c>
      <c r="D9" s="18">
        <f>D8*$E$8</f>
        <v>113775520</v>
      </c>
      <c r="E9" s="10"/>
      <c r="G9" s="3" t="s">
        <v>4</v>
      </c>
      <c r="H9" s="4" t="s">
        <v>3</v>
      </c>
    </row>
    <row r="10" spans="2:8" x14ac:dyDescent="0.35">
      <c r="B10" s="8"/>
      <c r="C10" s="9"/>
      <c r="D10" s="9"/>
      <c r="E10" s="10"/>
    </row>
    <row r="11" spans="2:8" x14ac:dyDescent="0.35">
      <c r="B11" s="8"/>
      <c r="C11" s="9"/>
      <c r="D11" s="9"/>
      <c r="E11" s="10"/>
    </row>
    <row r="12" spans="2:8" x14ac:dyDescent="0.35">
      <c r="B12" s="38" t="s">
        <v>7</v>
      </c>
      <c r="C12" s="38"/>
      <c r="D12" s="38"/>
      <c r="E12" s="38"/>
    </row>
    <row r="13" spans="2:8" x14ac:dyDescent="0.35">
      <c r="B13" s="8" t="s">
        <v>8</v>
      </c>
      <c r="C13" s="9">
        <v>0.74150000000000005</v>
      </c>
      <c r="D13" s="9">
        <v>0.60780000000000001</v>
      </c>
      <c r="E13" s="10"/>
      <c r="G13" s="3" t="s">
        <v>4</v>
      </c>
      <c r="H13" s="4" t="s">
        <v>9</v>
      </c>
    </row>
    <row r="14" spans="2:8" x14ac:dyDescent="0.35">
      <c r="B14" s="8"/>
      <c r="C14" s="18">
        <f>C13*$C$9</f>
        <v>126546822.12</v>
      </c>
      <c r="D14" s="18">
        <f>D13*$D$9</f>
        <v>69152761.055999994</v>
      </c>
      <c r="E14" s="10"/>
    </row>
    <row r="15" spans="2:8" x14ac:dyDescent="0.35">
      <c r="B15" s="8" t="s">
        <v>13</v>
      </c>
      <c r="C15" s="9">
        <v>0.83530000000000004</v>
      </c>
      <c r="D15" s="9">
        <v>0.76959999999999995</v>
      </c>
      <c r="E15" s="10"/>
      <c r="G15" s="3" t="s">
        <v>4</v>
      </c>
      <c r="H15" s="4" t="s">
        <v>10</v>
      </c>
    </row>
    <row r="16" spans="2:8" x14ac:dyDescent="0.35">
      <c r="B16" s="8"/>
      <c r="C16" s="18">
        <f>C15*$C$14</f>
        <v>105704560.516836</v>
      </c>
      <c r="D16" s="18">
        <f>D15*$D$14</f>
        <v>53219964.90869759</v>
      </c>
      <c r="E16" s="10"/>
    </row>
    <row r="17" spans="2:8" x14ac:dyDescent="0.35">
      <c r="B17" s="8"/>
      <c r="C17" s="9"/>
      <c r="D17" s="9"/>
      <c r="E17" s="10"/>
    </row>
    <row r="18" spans="2:8" x14ac:dyDescent="0.35">
      <c r="B18" s="38" t="s">
        <v>14</v>
      </c>
      <c r="C18" s="38"/>
      <c r="D18" s="38"/>
      <c r="E18" s="38"/>
    </row>
    <row r="19" spans="2:8" x14ac:dyDescent="0.35">
      <c r="B19" s="8" t="s">
        <v>17</v>
      </c>
      <c r="C19" s="9">
        <v>0.4</v>
      </c>
      <c r="D19" s="12">
        <v>0.5</v>
      </c>
      <c r="E19" s="10"/>
      <c r="G19" s="3" t="s">
        <v>4</v>
      </c>
      <c r="H19" s="4" t="s">
        <v>15</v>
      </c>
    </row>
    <row r="20" spans="2:8" x14ac:dyDescent="0.35">
      <c r="B20" s="8" t="s">
        <v>18</v>
      </c>
      <c r="C20" s="9">
        <v>0.4</v>
      </c>
      <c r="D20" s="12">
        <v>0.4</v>
      </c>
      <c r="E20" s="10"/>
    </row>
    <row r="21" spans="2:8" x14ac:dyDescent="0.35">
      <c r="B21" s="8" t="s">
        <v>19</v>
      </c>
      <c r="C21" s="9">
        <v>0.2</v>
      </c>
      <c r="D21" s="12">
        <v>0.1</v>
      </c>
      <c r="E21" s="10"/>
    </row>
    <row r="22" spans="2:8" x14ac:dyDescent="0.35">
      <c r="B22" s="8"/>
      <c r="C22" s="9"/>
      <c r="D22" s="8"/>
      <c r="E22" s="10"/>
    </row>
    <row r="23" spans="2:8" x14ac:dyDescent="0.35">
      <c r="B23" s="8" t="s">
        <v>17</v>
      </c>
      <c r="C23" s="11">
        <f>C19*$C$16</f>
        <v>42281824.206734404</v>
      </c>
      <c r="D23" s="11">
        <f>D19*$D$16</f>
        <v>26609982.454348795</v>
      </c>
      <c r="E23" s="10"/>
    </row>
    <row r="24" spans="2:8" x14ac:dyDescent="0.35">
      <c r="B24" s="8" t="s">
        <v>18</v>
      </c>
      <c r="C24" s="11">
        <f t="shared" ref="C24:C25" si="0">C20*$C$16</f>
        <v>42281824.206734404</v>
      </c>
      <c r="D24" s="11">
        <f t="shared" ref="D24:D25" si="1">D20*$D$16</f>
        <v>21287985.963479038</v>
      </c>
      <c r="E24" s="10"/>
    </row>
    <row r="25" spans="2:8" x14ac:dyDescent="0.35">
      <c r="B25" s="8" t="s">
        <v>19</v>
      </c>
      <c r="C25" s="11">
        <f t="shared" si="0"/>
        <v>21140912.103367202</v>
      </c>
      <c r="D25" s="11">
        <f t="shared" si="1"/>
        <v>5321996.4908697596</v>
      </c>
      <c r="E25" s="10"/>
    </row>
    <row r="26" spans="2:8" x14ac:dyDescent="0.35">
      <c r="B26" s="8"/>
      <c r="C26" s="9"/>
      <c r="D26" s="9"/>
      <c r="E26" s="10"/>
    </row>
    <row r="27" spans="2:8" x14ac:dyDescent="0.35">
      <c r="B27" s="8"/>
      <c r="C27" s="9"/>
      <c r="D27" s="9"/>
      <c r="E27" s="10"/>
    </row>
    <row r="28" spans="2:8" x14ac:dyDescent="0.35">
      <c r="B28" s="38" t="s">
        <v>16</v>
      </c>
      <c r="C28" s="38"/>
      <c r="D28" s="38"/>
      <c r="E28" s="38"/>
    </row>
    <row r="29" spans="2:8" x14ac:dyDescent="0.35">
      <c r="B29" s="8" t="s">
        <v>17</v>
      </c>
      <c r="C29" s="12">
        <v>0.2</v>
      </c>
      <c r="D29" s="12">
        <v>0.05</v>
      </c>
      <c r="E29" s="10"/>
    </row>
    <row r="30" spans="2:8" x14ac:dyDescent="0.35">
      <c r="B30" s="8" t="s">
        <v>18</v>
      </c>
      <c r="C30" s="12">
        <v>0.4</v>
      </c>
      <c r="D30" s="12">
        <v>0.3</v>
      </c>
      <c r="E30" s="10"/>
    </row>
    <row r="31" spans="2:8" x14ac:dyDescent="0.35">
      <c r="B31" s="8" t="s">
        <v>19</v>
      </c>
      <c r="C31" s="9">
        <v>0.6</v>
      </c>
      <c r="D31" s="12">
        <v>0.5</v>
      </c>
      <c r="E31" s="10"/>
      <c r="G31" s="3" t="s">
        <v>4</v>
      </c>
      <c r="H31" s="4" t="s">
        <v>27</v>
      </c>
    </row>
    <row r="32" spans="2:8" x14ac:dyDescent="0.35">
      <c r="B32" s="8"/>
      <c r="C32" s="9"/>
      <c r="D32" s="9"/>
      <c r="E32" s="10"/>
    </row>
    <row r="33" spans="2:8" x14ac:dyDescent="0.35">
      <c r="B33" s="8" t="s">
        <v>17</v>
      </c>
      <c r="C33" s="11">
        <f>C29*C23</f>
        <v>8456364.8413468804</v>
      </c>
      <c r="D33" s="11">
        <f t="shared" ref="D33:D35" si="2">D29*D23</f>
        <v>1330499.1227174399</v>
      </c>
      <c r="E33" s="10"/>
    </row>
    <row r="34" spans="2:8" x14ac:dyDescent="0.35">
      <c r="B34" s="8" t="s">
        <v>18</v>
      </c>
      <c r="C34" s="11">
        <f t="shared" ref="C34" si="3">C30*C24</f>
        <v>16912729.682693761</v>
      </c>
      <c r="D34" s="11">
        <f t="shared" si="2"/>
        <v>6386395.7890437115</v>
      </c>
      <c r="E34" s="10"/>
    </row>
    <row r="35" spans="2:8" x14ac:dyDescent="0.35">
      <c r="B35" s="8" t="s">
        <v>19</v>
      </c>
      <c r="C35" s="11">
        <f t="shared" ref="C35" si="4">C31*C25</f>
        <v>12684547.262020322</v>
      </c>
      <c r="D35" s="11">
        <f t="shared" si="2"/>
        <v>2660998.2454348798</v>
      </c>
      <c r="E35" s="10"/>
    </row>
    <row r="36" spans="2:8" x14ac:dyDescent="0.35">
      <c r="B36" s="8"/>
      <c r="C36" s="9"/>
      <c r="D36" s="9"/>
      <c r="E36" s="10"/>
    </row>
    <row r="37" spans="2:8" x14ac:dyDescent="0.35">
      <c r="B37" s="8"/>
      <c r="C37" s="9"/>
      <c r="D37" s="9"/>
      <c r="E37" s="10"/>
    </row>
    <row r="38" spans="2:8" x14ac:dyDescent="0.35">
      <c r="B38" s="38" t="s">
        <v>20</v>
      </c>
      <c r="C38" s="38"/>
      <c r="D38" s="38"/>
      <c r="E38" s="38"/>
    </row>
    <row r="39" spans="2:8" x14ac:dyDescent="0.35">
      <c r="B39" s="8" t="s">
        <v>17</v>
      </c>
      <c r="C39" s="23">
        <f>'ARPU Calculation'!C32</f>
        <v>0.35</v>
      </c>
      <c r="D39" s="23">
        <f>'ARPU Calculation'!D32</f>
        <v>0.12</v>
      </c>
      <c r="E39" s="10"/>
      <c r="F39" s="5"/>
      <c r="G39" s="3"/>
      <c r="H39" s="4"/>
    </row>
    <row r="40" spans="2:8" x14ac:dyDescent="0.35">
      <c r="B40" s="8" t="s">
        <v>18</v>
      </c>
      <c r="C40" s="23">
        <f>'ARPU Calculation'!C33</f>
        <v>0.75</v>
      </c>
      <c r="D40" s="23">
        <f>'ARPU Calculation'!D33</f>
        <v>0.25</v>
      </c>
      <c r="E40" s="10"/>
      <c r="F40" s="5"/>
      <c r="G40" s="5"/>
      <c r="H40" s="5"/>
    </row>
    <row r="41" spans="2:8" x14ac:dyDescent="0.35">
      <c r="B41" s="8" t="s">
        <v>19</v>
      </c>
      <c r="C41" s="23">
        <f>'ARPU Calculation'!C34</f>
        <v>1.85</v>
      </c>
      <c r="D41" s="23">
        <f>'ARPU Calculation'!D34</f>
        <v>0.55000000000000004</v>
      </c>
      <c r="E41" s="10"/>
      <c r="F41" s="5"/>
      <c r="G41" s="5"/>
      <c r="H41" s="5"/>
    </row>
    <row r="42" spans="2:8" x14ac:dyDescent="0.35">
      <c r="B42" s="8"/>
      <c r="C42" s="9"/>
      <c r="D42" s="9"/>
      <c r="E42" s="10"/>
      <c r="G42" s="5"/>
      <c r="H42" s="5"/>
    </row>
    <row r="43" spans="2:8" x14ac:dyDescent="0.35">
      <c r="B43" s="8" t="s">
        <v>17</v>
      </c>
      <c r="C43" s="14">
        <f>C39*C33*12</f>
        <v>35516732.3336569</v>
      </c>
      <c r="D43" s="14">
        <f t="shared" ref="D43:D45" si="5">D39*D33*12</f>
        <v>1915918.7367131133</v>
      </c>
      <c r="E43" s="10"/>
      <c r="F43" s="6"/>
      <c r="G43" s="6"/>
    </row>
    <row r="44" spans="2:8" x14ac:dyDescent="0.35">
      <c r="B44" s="8" t="s">
        <v>18</v>
      </c>
      <c r="C44" s="14">
        <f t="shared" ref="C44" si="6">C40*C34*12</f>
        <v>152214567.14424384</v>
      </c>
      <c r="D44" s="14">
        <f t="shared" si="5"/>
        <v>19159187.367131136</v>
      </c>
      <c r="E44" s="10"/>
      <c r="F44" s="6"/>
      <c r="G44" s="6"/>
    </row>
    <row r="45" spans="2:8" x14ac:dyDescent="0.35">
      <c r="B45" s="8" t="s">
        <v>19</v>
      </c>
      <c r="C45" s="14">
        <f t="shared" ref="C45" si="7">C41*C35*12</f>
        <v>281596949.21685117</v>
      </c>
      <c r="D45" s="14">
        <f t="shared" si="5"/>
        <v>17562588.419870209</v>
      </c>
      <c r="E45" s="10"/>
      <c r="F45" s="6"/>
      <c r="G45" s="6"/>
    </row>
    <row r="46" spans="2:8" x14ac:dyDescent="0.35">
      <c r="B46" s="8"/>
      <c r="C46" s="9"/>
      <c r="D46" s="9"/>
      <c r="E46" s="10"/>
    </row>
    <row r="47" spans="2:8" x14ac:dyDescent="0.35">
      <c r="B47" s="38" t="s">
        <v>22</v>
      </c>
      <c r="C47" s="38"/>
      <c r="D47" s="38"/>
      <c r="E47" s="38"/>
      <c r="G47" s="3"/>
      <c r="H47" s="4"/>
    </row>
    <row r="48" spans="2:8" ht="29.5" customHeight="1" x14ac:dyDescent="0.35">
      <c r="B48" s="8"/>
      <c r="C48" s="14">
        <f>SUM(C43:C45)</f>
        <v>469328248.69475192</v>
      </c>
      <c r="D48" s="14">
        <f>SUM(D43:D45)</f>
        <v>38637694.523714453</v>
      </c>
      <c r="E48" s="14">
        <f>SUM(C48:D48)</f>
        <v>507965943.2184664</v>
      </c>
      <c r="H48" s="43"/>
    </row>
    <row r="49" spans="3:8" x14ac:dyDescent="0.35">
      <c r="C49" s="1">
        <f>C48/E48</f>
        <v>0.92393644684345078</v>
      </c>
      <c r="D49" s="1">
        <f>D48/E48</f>
        <v>7.6063553156549168E-2</v>
      </c>
      <c r="E49" s="2"/>
      <c r="G49" s="42"/>
      <c r="H49" s="44"/>
    </row>
    <row r="50" spans="3:8" x14ac:dyDescent="0.35">
      <c r="C50" s="1"/>
      <c r="D50" s="1"/>
      <c r="E50" s="2"/>
      <c r="H50" s="43"/>
    </row>
    <row r="51" spans="3:8" x14ac:dyDescent="0.35">
      <c r="C51" s="1">
        <f>C43/$E$48</f>
        <v>6.9919514896261137E-2</v>
      </c>
      <c r="D51" s="1">
        <f t="shared" ref="D51:D53" si="8">D43/$E$48</f>
        <v>3.7717464375148341E-3</v>
      </c>
      <c r="E51" s="2"/>
      <c r="H51" s="41"/>
    </row>
    <row r="52" spans="3:8" x14ac:dyDescent="0.35">
      <c r="C52" s="1">
        <f t="shared" ref="C52" si="9">C44/$E$48</f>
        <v>0.29965506384111912</v>
      </c>
      <c r="D52" s="1">
        <f t="shared" si="8"/>
        <v>3.7717464375148349E-2</v>
      </c>
      <c r="E52" s="2"/>
    </row>
    <row r="53" spans="3:8" x14ac:dyDescent="0.35">
      <c r="C53" s="1">
        <f t="shared" ref="C53" si="10">C45/$E$48</f>
        <v>0.55436186810607047</v>
      </c>
      <c r="D53" s="1">
        <f t="shared" si="8"/>
        <v>3.457434234388599E-2</v>
      </c>
    </row>
  </sheetData>
  <mergeCells count="6">
    <mergeCell ref="B47:E47"/>
    <mergeCell ref="B7:E7"/>
    <mergeCell ref="B12:E12"/>
    <mergeCell ref="B18:E18"/>
    <mergeCell ref="B28:E28"/>
    <mergeCell ref="B38:E38"/>
  </mergeCells>
  <hyperlinks>
    <hyperlink ref="H8" r:id="rId1" xr:uid="{702482B6-EAB1-4846-9DD3-27119399F70F}"/>
    <hyperlink ref="H9" r:id="rId2" xr:uid="{49C27878-C479-4A3D-8111-79E968DF60E9}"/>
    <hyperlink ref="H13" r:id="rId3" xr:uid="{A471E4B0-0E72-4D5B-BC1F-10EBD9FF4AEB}"/>
    <hyperlink ref="H15" r:id="rId4" xr:uid="{DFCED936-5308-44E1-8606-E1A38005B007}"/>
    <hyperlink ref="H19" r:id="rId5" xr:uid="{4A2143CA-7D55-4E22-A321-8590A4BEA4AB}"/>
    <hyperlink ref="H31" r:id="rId6" location="GoPay-Regional-Adoption-Rates" xr:uid="{C42691E7-1F58-4CE6-BA2E-61FD62504C6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FDB3E-3AD4-429F-A919-75F47C0D00C3}">
  <dimension ref="B2:E35"/>
  <sheetViews>
    <sheetView showGridLines="0" zoomScaleNormal="100" workbookViewId="0">
      <pane xSplit="1" ySplit="6" topLeftCell="B14" activePane="bottomRight" state="frozen"/>
      <selection pane="topRight" activeCell="B1" sqref="B1"/>
      <selection pane="bottomLeft" activeCell="A7" sqref="A7"/>
      <selection pane="bottomRight" activeCell="B1" sqref="B1"/>
    </sheetView>
  </sheetViews>
  <sheetFormatPr defaultRowHeight="14.5" x14ac:dyDescent="0.35"/>
  <cols>
    <col min="1" max="1" width="1.81640625" customWidth="1"/>
    <col min="2" max="2" width="31.1796875" customWidth="1"/>
    <col min="3" max="3" width="10.08984375" customWidth="1"/>
    <col min="4" max="4" width="11.453125" customWidth="1"/>
    <col min="5" max="5" width="15.6328125" customWidth="1"/>
    <col min="6" max="6" width="9.453125" customWidth="1"/>
    <col min="7" max="7" width="6.36328125" customWidth="1"/>
    <col min="8" max="8" width="9" customWidth="1"/>
  </cols>
  <sheetData>
    <row r="2" spans="2:5" x14ac:dyDescent="0.35">
      <c r="B2" s="9" t="s">
        <v>24</v>
      </c>
      <c r="C2" s="15" t="s">
        <v>28</v>
      </c>
    </row>
    <row r="3" spans="2:5" x14ac:dyDescent="0.35">
      <c r="B3" s="11" t="s">
        <v>23</v>
      </c>
      <c r="C3" s="15" t="s">
        <v>29</v>
      </c>
    </row>
    <row r="4" spans="2:5" x14ac:dyDescent="0.35">
      <c r="B4" s="12" t="s">
        <v>25</v>
      </c>
      <c r="C4" s="15" t="s">
        <v>26</v>
      </c>
    </row>
    <row r="6" spans="2:5" x14ac:dyDescent="0.35">
      <c r="B6" s="38" t="s">
        <v>30</v>
      </c>
      <c r="C6" s="38"/>
      <c r="D6" s="38"/>
      <c r="E6" s="38"/>
    </row>
    <row r="8" spans="2:5" x14ac:dyDescent="0.35">
      <c r="B8" t="s">
        <v>31</v>
      </c>
    </row>
    <row r="9" spans="2:5" x14ac:dyDescent="0.35">
      <c r="B9" s="3" t="s">
        <v>32</v>
      </c>
    </row>
    <row r="11" spans="2:5" x14ac:dyDescent="0.35">
      <c r="B11" t="s">
        <v>33</v>
      </c>
    </row>
    <row r="12" spans="2:5" x14ac:dyDescent="0.35">
      <c r="B12" s="4" t="s">
        <v>34</v>
      </c>
      <c r="C12" s="4"/>
    </row>
    <row r="14" spans="2:5" x14ac:dyDescent="0.35">
      <c r="B14" s="8" t="s">
        <v>42</v>
      </c>
      <c r="C14" s="20">
        <v>35</v>
      </c>
    </row>
    <row r="15" spans="2:5" x14ac:dyDescent="0.35">
      <c r="B15" s="8" t="s">
        <v>36</v>
      </c>
      <c r="C15" s="9">
        <v>0.35</v>
      </c>
    </row>
    <row r="16" spans="2:5" x14ac:dyDescent="0.35">
      <c r="B16" s="8" t="s">
        <v>35</v>
      </c>
      <c r="C16" s="21">
        <f>C14*C15</f>
        <v>12.25</v>
      </c>
      <c r="D16" t="s">
        <v>39</v>
      </c>
    </row>
    <row r="17" spans="2:5" x14ac:dyDescent="0.35">
      <c r="B17" s="8" t="s">
        <v>37</v>
      </c>
      <c r="C17" s="19">
        <v>1.4999999999999999E-2</v>
      </c>
      <c r="D17" t="s">
        <v>38</v>
      </c>
    </row>
    <row r="18" spans="2:5" x14ac:dyDescent="0.35">
      <c r="B18" s="8" t="s">
        <v>46</v>
      </c>
      <c r="C18" s="21">
        <f>C16*C17</f>
        <v>0.18375</v>
      </c>
      <c r="D18" s="1"/>
      <c r="E18" s="2"/>
    </row>
    <row r="19" spans="2:5" x14ac:dyDescent="0.35">
      <c r="C19" s="1"/>
      <c r="D19" s="1"/>
      <c r="E19" s="2"/>
    </row>
    <row r="20" spans="2:5" x14ac:dyDescent="0.35">
      <c r="B20" t="s">
        <v>40</v>
      </c>
      <c r="C20" s="1"/>
      <c r="D20" s="1"/>
      <c r="E20" s="2"/>
    </row>
    <row r="21" spans="2:5" x14ac:dyDescent="0.35">
      <c r="B21" s="8" t="s">
        <v>41</v>
      </c>
      <c r="C21" s="13">
        <v>20</v>
      </c>
    </row>
    <row r="22" spans="2:5" x14ac:dyDescent="0.35">
      <c r="B22" s="8" t="s">
        <v>43</v>
      </c>
      <c r="C22" s="22">
        <v>7.0000000000000001E-3</v>
      </c>
      <c r="D22" t="s">
        <v>44</v>
      </c>
    </row>
    <row r="23" spans="2:5" x14ac:dyDescent="0.35">
      <c r="B23" s="8" t="s">
        <v>45</v>
      </c>
      <c r="C23" s="21">
        <f>C21*C22</f>
        <v>0.14000000000000001</v>
      </c>
    </row>
    <row r="25" spans="2:5" x14ac:dyDescent="0.35">
      <c r="B25" t="s">
        <v>49</v>
      </c>
    </row>
    <row r="26" spans="2:5" x14ac:dyDescent="0.35">
      <c r="B26" s="8" t="s">
        <v>47</v>
      </c>
      <c r="C26" s="23">
        <v>0.2</v>
      </c>
    </row>
    <row r="28" spans="2:5" x14ac:dyDescent="0.35">
      <c r="B28" s="24" t="s">
        <v>48</v>
      </c>
      <c r="C28" s="21">
        <f>SUM(C26,C23,C18)</f>
        <v>0.52375000000000005</v>
      </c>
    </row>
    <row r="30" spans="2:5" x14ac:dyDescent="0.35">
      <c r="B30" s="38" t="s">
        <v>50</v>
      </c>
      <c r="C30" s="38"/>
      <c r="D30" s="38"/>
      <c r="E30" s="38"/>
    </row>
    <row r="31" spans="2:5" x14ac:dyDescent="0.35">
      <c r="B31" s="8"/>
      <c r="C31" s="25" t="s">
        <v>0</v>
      </c>
      <c r="D31" s="24" t="s">
        <v>1</v>
      </c>
    </row>
    <row r="32" spans="2:5" x14ac:dyDescent="0.35">
      <c r="B32" s="8" t="s">
        <v>17</v>
      </c>
      <c r="C32" s="23">
        <v>0.35</v>
      </c>
      <c r="D32" s="23">
        <v>0.12</v>
      </c>
    </row>
    <row r="33" spans="2:4" x14ac:dyDescent="0.35">
      <c r="B33" s="8" t="s">
        <v>18</v>
      </c>
      <c r="C33" s="23">
        <v>0.75</v>
      </c>
      <c r="D33" s="23">
        <v>0.25</v>
      </c>
    </row>
    <row r="34" spans="2:4" x14ac:dyDescent="0.35">
      <c r="B34" s="8" t="s">
        <v>19</v>
      </c>
      <c r="C34" s="23">
        <v>1.85</v>
      </c>
      <c r="D34" s="23">
        <v>0.55000000000000004</v>
      </c>
    </row>
    <row r="35" spans="2:4" x14ac:dyDescent="0.35">
      <c r="B35" s="15" t="s">
        <v>51</v>
      </c>
    </row>
  </sheetData>
  <mergeCells count="2">
    <mergeCell ref="B6:E6"/>
    <mergeCell ref="B30:E30"/>
  </mergeCells>
  <hyperlinks>
    <hyperlink ref="B12" r:id="rId1" xr:uid="{380027A2-792F-422A-BE45-1EDF2E3A082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66E2E-5FF0-45C3-873F-822E4A85142A}">
  <dimension ref="B2:G26"/>
  <sheetViews>
    <sheetView showGridLines="0" workbookViewId="0">
      <selection activeCell="C16" sqref="C16"/>
    </sheetView>
  </sheetViews>
  <sheetFormatPr defaultRowHeight="14.5" x14ac:dyDescent="0.35"/>
  <cols>
    <col min="1" max="1" width="1.81640625" customWidth="1"/>
    <col min="2" max="2" width="31.81640625" customWidth="1"/>
    <col min="3" max="3" width="11.36328125" bestFit="1" customWidth="1"/>
    <col min="4" max="4" width="9.6328125" customWidth="1"/>
  </cols>
  <sheetData>
    <row r="2" spans="2:7" x14ac:dyDescent="0.35">
      <c r="B2" s="9" t="s">
        <v>24</v>
      </c>
      <c r="C2" s="15" t="s">
        <v>28</v>
      </c>
    </row>
    <row r="3" spans="2:7" x14ac:dyDescent="0.35">
      <c r="B3" s="11" t="s">
        <v>23</v>
      </c>
      <c r="C3" s="15" t="s">
        <v>29</v>
      </c>
    </row>
    <row r="4" spans="2:7" x14ac:dyDescent="0.35">
      <c r="B4" s="12" t="s">
        <v>25</v>
      </c>
      <c r="C4" s="15" t="s">
        <v>26</v>
      </c>
    </row>
    <row r="6" spans="2:7" x14ac:dyDescent="0.35">
      <c r="B6" s="39" t="s">
        <v>52</v>
      </c>
      <c r="C6" s="40"/>
      <c r="D6" s="40"/>
      <c r="E6" s="40"/>
      <c r="F6" s="40"/>
      <c r="G6" s="40"/>
    </row>
    <row r="7" spans="2:7" x14ac:dyDescent="0.35">
      <c r="B7" t="s">
        <v>53</v>
      </c>
    </row>
    <row r="8" spans="2:7" x14ac:dyDescent="0.35">
      <c r="B8" s="27" t="s">
        <v>4</v>
      </c>
      <c r="C8" s="26" t="s">
        <v>54</v>
      </c>
    </row>
    <row r="10" spans="2:7" x14ac:dyDescent="0.35">
      <c r="B10" t="s">
        <v>60</v>
      </c>
    </row>
    <row r="11" spans="2:7" x14ac:dyDescent="0.35">
      <c r="B11" s="27" t="s">
        <v>4</v>
      </c>
      <c r="C11" s="26" t="s">
        <v>61</v>
      </c>
    </row>
    <row r="13" spans="2:7" x14ac:dyDescent="0.35">
      <c r="C13" s="28" t="s">
        <v>56</v>
      </c>
      <c r="D13" s="28" t="s">
        <v>57</v>
      </c>
    </row>
    <row r="14" spans="2:7" x14ac:dyDescent="0.35">
      <c r="B14" s="24" t="s">
        <v>55</v>
      </c>
      <c r="C14" s="10">
        <v>1700000000</v>
      </c>
      <c r="D14" s="29">
        <v>1000000</v>
      </c>
    </row>
    <row r="15" spans="2:7" x14ac:dyDescent="0.35">
      <c r="B15" s="8"/>
      <c r="C15" s="10"/>
      <c r="D15" s="10"/>
    </row>
    <row r="16" spans="2:7" x14ac:dyDescent="0.35">
      <c r="B16" s="8" t="s">
        <v>59</v>
      </c>
      <c r="C16" s="30">
        <v>100000</v>
      </c>
      <c r="D16" s="8"/>
    </row>
    <row r="17" spans="2:5" x14ac:dyDescent="0.35">
      <c r="B17" s="8" t="s">
        <v>63</v>
      </c>
      <c r="C17" s="22">
        <v>7.0000000000000001E-3</v>
      </c>
      <c r="D17" s="31"/>
    </row>
    <row r="18" spans="2:5" x14ac:dyDescent="0.35">
      <c r="B18" s="8"/>
      <c r="C18" s="22"/>
      <c r="D18" s="31"/>
    </row>
    <row r="19" spans="2:5" x14ac:dyDescent="0.35">
      <c r="B19" s="8" t="s">
        <v>64</v>
      </c>
      <c r="C19" s="22"/>
      <c r="D19" s="31"/>
    </row>
    <row r="20" spans="2:5" x14ac:dyDescent="0.35">
      <c r="B20" s="35" t="s">
        <v>66</v>
      </c>
      <c r="C20" s="37">
        <f>C17*E20</f>
        <v>3.5000000000000001E-3</v>
      </c>
      <c r="D20" s="31"/>
      <c r="E20" s="36">
        <v>0.5</v>
      </c>
    </row>
    <row r="21" spans="2:5" x14ac:dyDescent="0.35">
      <c r="B21" s="35" t="s">
        <v>67</v>
      </c>
      <c r="C21" s="37">
        <f>C17*E21</f>
        <v>3.5000000000000001E-3</v>
      </c>
      <c r="D21" s="31"/>
      <c r="E21" s="36">
        <v>0.5</v>
      </c>
    </row>
    <row r="22" spans="2:5" x14ac:dyDescent="0.35">
      <c r="B22" s="35"/>
      <c r="C22" s="22"/>
      <c r="D22" s="31"/>
      <c r="E22" s="36"/>
    </row>
    <row r="23" spans="2:5" x14ac:dyDescent="0.35">
      <c r="B23" s="24" t="s">
        <v>62</v>
      </c>
      <c r="C23" s="32">
        <f>C16*C21</f>
        <v>350</v>
      </c>
      <c r="D23" s="8"/>
    </row>
    <row r="25" spans="2:5" x14ac:dyDescent="0.35">
      <c r="B25" s="24" t="s">
        <v>58</v>
      </c>
      <c r="C25" s="33">
        <f>C14/C23</f>
        <v>4857142.8571428573</v>
      </c>
    </row>
    <row r="26" spans="2:5" x14ac:dyDescent="0.35">
      <c r="C26" s="34" t="s">
        <v>65</v>
      </c>
    </row>
  </sheetData>
  <mergeCells count="1">
    <mergeCell ref="B6:G6"/>
  </mergeCells>
  <hyperlinks>
    <hyperlink ref="C8" r:id="rId1" xr:uid="{48D274F4-36D2-409C-8650-86EB856C07BE}"/>
    <hyperlink ref="C11" r:id="rId2" xr:uid="{D68077C5-0D3E-486E-9DB7-8E6CF774CA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Bottom-Up Model</vt:lpstr>
      <vt:lpstr>ARPU Calculation</vt:lpstr>
      <vt:lpstr>Break-Even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Garje</dc:creator>
  <cp:lastModifiedBy>Sachin Garje</cp:lastModifiedBy>
  <dcterms:created xsi:type="dcterms:W3CDTF">2015-06-05T18:17:20Z</dcterms:created>
  <dcterms:modified xsi:type="dcterms:W3CDTF">2026-04-30T03:27:53Z</dcterms:modified>
</cp:coreProperties>
</file>